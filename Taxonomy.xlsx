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<sst xmlns="http://schemas.openxmlformats.org/spreadsheetml/2006/main" count="371" uniqueCount="196">
  <si>
    <t xml:space="preserve">Index</t>
  </si>
  <si>
    <t xml:space="preserve">Year Published</t>
  </si>
  <si>
    <t xml:space="preserve">Title</t>
  </si>
  <si>
    <t xml:space="preserve">Venue name</t>
  </si>
  <si>
    <t xml:space="preserve">Venue type [conference,Journal,whitepaper]</t>
  </si>
  <si>
    <t xml:space="preserve">Track (Research Track / Experience Track / Tool Track / Survey Track / none)</t>
  </si>
  <si>
    <t xml:space="preserve">Author names</t>
  </si>
  <si>
    <t xml:space="preserve">Author affiliation</t>
  </si>
  <si>
    <t xml:space="preserve">Approach (comparative model, only simulation, prototype, case study)</t>
  </si>
  <si>
    <t xml:space="preserve">Main result (optimization, new idea, new knowledge, claim)</t>
  </si>
  <si>
    <t xml:space="preserve">Takeaways (source code, product, diagrams, movement)</t>
  </si>
  <si>
    <t xml:space="preserve">Realistic deliberation (academic, real-life testing features)</t>
  </si>
  <si>
    <t xml:space="preserve">canary as a term (none, rare, common, central)</t>
  </si>
  <si>
    <t xml:space="preserve">Sentiment (Sceptical, curious, enthusiast)</t>
  </si>
  <si>
    <t xml:space="preserve">Citations few common popular</t>
  </si>
  <si>
    <t xml:space="preserve">Keywords</t>
  </si>
  <si>
    <t xml:space="preserve">URL  </t>
  </si>
  <si>
    <t xml:space="preserve">Relevance to topic (PaC in GitOps)[Core, Strong, Adjacent, Tangential]</t>
  </si>
  <si>
    <t xml:space="preserve">An Empirical Study of Policy as Code: Adoption, Purpose, and Maintenance</t>
  </si>
  <si>
    <t xml:space="preserve">MSR '26: Proceedings of the 23rd International Conference on Mining Software Repositories</t>
  </si>
  <si>
    <t xml:space="preserve">conference</t>
  </si>
  <si>
    <t xml:space="preserve">Research Track</t>
  </si>
  <si>
    <t xml:space="preserve">Ruben Opdebeeck; Mahmoud Alfadel; Akond Rahman; Yutaro Kashiwa; João F. Ferreira; Raula Gaikovina Kula; Coen De Roover</t>
  </si>
  <si>
    <t xml:space="preserve">Vrije Universiteit Brussel, Brussels, Belgium,
    University of Calgary, Calgary, Canada,
    "Auburn University, Auburn, USA,
    Nara Institute of Science and Technology, Nara, Japan,
    INESC-ID and Faculty of Engineering, University of Porto, Porto, Portugal,
    The University of Osaka, Osaka, Japan,
    Vrije Universiteit Brussel, Brussels, Belgium</t>
  </si>
  <si>
    <t xml:space="preserve">case study</t>
  </si>
  <si>
    <t xml:space="preserve">New Knowledge</t>
  </si>
  <si>
    <t xml:space="preserve">Diagrams</t>
  </si>
  <si>
    <t xml:space="preserve">Real life testing features</t>
  </si>
  <si>
    <t xml:space="preserve">none</t>
  </si>
  <si>
    <t xml:space="preserve">Enthusiast</t>
  </si>
  <si>
    <t xml:space="preserve">few</t>
  </si>
  <si>
    <t xml:space="preserve">configuration management, devops, policy, policy as code</t>
  </si>
  <si>
    <t xml:space="preserve">https://doi.org/10.1145/3793302.3793355</t>
  </si>
  <si>
    <t xml:space="preserve">Strong</t>
  </si>
  <si>
    <t xml:space="preserve">A Secure Framework for Continuous Compliance
across Heterogeneous Policy Validation Points</t>
  </si>
  <si>
    <t xml:space="preserve">2024 IEEE 17th International Conference on Cloud Computing (CLOUD)</t>
  </si>
  <si>
    <t xml:space="preserve">Research + tools track</t>
  </si>
  <si>
    <t xml:space="preserve">Takumi Yanagawa , Vikas Agarwal† , Yuji Watanabe , Lou Degenaro , Anca Sailer</t>
  </si>
  <si>
    <t xml:space="preserve">IBM Research - Tokyo, Japan,
    IBM Research - India,
    IBM Research - Tokyo, Japan,
    IBM Thomas J. Watson Research Center, Yorktown Heights, US,
    IBM Thomas J. Watson Research Center, Yorktown Heights, US</t>
  </si>
  <si>
    <t xml:space="preserve">prototype</t>
  </si>
  <si>
    <t xml:space="preserve">New idea</t>
  </si>
  <si>
    <t xml:space="preserve">Real-life testing features</t>
  </si>
  <si>
    <t xml:space="preserve">Cloud Security and Compliance, Compliance as Code, Policy as Code, Continuous Compliance, Integrity</t>
  </si>
  <si>
    <t xml:space="preserve">https://ieeexplore.ieee.org/document/10643942</t>
  </si>
  <si>
    <t xml:space="preserve">Core</t>
  </si>
  <si>
    <t xml:space="preserve">Policy-as-Code in the Wild: A Taxonomy and Dataset for Open Policy Agent from GitHub</t>
  </si>
  <si>
    <t xml:space="preserve">2026 IEEE International Conference on Software Analysis, Evolution and Reengineering - Companion (SANER-C)</t>
  </si>
  <si>
    <t xml:space="preserve">survey track</t>
  </si>
  <si>
    <t xml:space="preserve">Cal Önal; Indika Kumara; Filippo Scaramuzza; Marco Tonnarelli</t>
  </si>
  <si>
    <t xml:space="preserve">    Jheronimus Academy of Data Science, Tilburg University, 's-Hertogenbosch, Netherlands,
    Jheronimus Academy of Data Science, Tilburg University, 's-Hertogenbosch, Netherlands,
    Jheronimus Academy of Data Science, Tilburg University, 's-Hertogenbosch, Netherlands,
    Eindhoven University of Technology / Tilburg University / NXP Semiconductors, 's-Hertogenbosch, Netherlands
</t>
  </si>
  <si>
    <t xml:space="preserve">case study (repository mining study)</t>
  </si>
  <si>
    <t xml:space="preserve">Both</t>
  </si>
  <si>
    <t xml:space="preserve">Policy-as-Code; Taxonomy; Dataset; Repository Mining; Open Policy Agent; OPA; PaC</t>
  </si>
  <si>
    <t xml:space="preserve">https://doi.org/10.1109/SANER-C67878.2026.00038</t>
  </si>
  <si>
    <t xml:space="preserve">Reusing Policy-as-Code Across CI/CD and Kubernetes Admission Control: An Empirical Assessment of Governance Consistency</t>
  </si>
  <si>
    <t xml:space="preserve">Computers (MDPI)</t>
  </si>
  <si>
    <t xml:space="preserve">journal</t>
  </si>
  <si>
    <t xml:space="preserve">Research Article</t>
  </si>
  <si>
    <t xml:space="preserve">Luís Nogueira; Alice Resende</t>
  </si>
  <si>
    <t xml:space="preserve">School of Engineering (ISEP), Polytechnic Institute of Porto (P.PORTO), 4249-015 Porto, Portugal</t>
  </si>
  <si>
    <t xml:space="preserve">prototype(via experimental study)</t>
  </si>
  <si>
    <t xml:space="preserve">New knowledge</t>
  </si>
  <si>
    <t xml:space="preserve">source code    (https://github.com/lmpnogueira/policy-reuse-evaluation)</t>
  </si>
  <si>
    <t xml:space="preserve">Academic</t>
  </si>
  <si>
    <t xml:space="preserve">policy-as-code; governance consistency; policy reuse; continuous integration;
Kubernetes admission control; DevSecOps; governance-as-code; cloud-native security;
open policy agent; rego</t>
  </si>
  <si>
    <t xml:space="preserve">https://doi.org/10.3390/computers15070453</t>
  </si>
  <si>
    <t xml:space="preserve">Identity-Driven Zero Trust Automation in GitOps: Policy-as-Code Enforcement for Secure code Deployments</t>
  </si>
  <si>
    <t xml:space="preserve">International Journal of Scientific Research in Computer Science, Engineering and Information Technology (IJSRCSEIT)</t>
  </si>
  <si>
    <t xml:space="preserve">Experience Track </t>
  </si>
  <si>
    <t xml:space="preserve">Sandeep Kamadi</t>
  </si>
  <si>
    <t xml:space="preserve">Wilmington University, Delaware, USA</t>
  </si>
  <si>
    <t xml:space="preserve">new idea</t>
  </si>
  <si>
    <t xml:space="preserve">Academic + real life testing features</t>
  </si>
  <si>
    <t xml:space="preserve">    Zero Trust, GitOps, CI/CD,
    Identity Management, Cloud Security, Policy-as-Code
</t>
  </si>
  <si>
    <t xml:space="preserve">https://doi.org/10.32628/CSEIT235148</t>
  </si>
  <si>
    <t xml:space="preserve">GitOps at Scale: Multi-Cluster Kubernetes Management Using Declarative Infrastructure Pipelines</t>
  </si>
  <si>
    <t xml:space="preserve">International Journal of Computer Science Engineering Techniques</t>
  </si>
  <si>
    <t xml:space="preserve">Journal</t>
  </si>
  <si>
    <t xml:space="preserve">Pruthvi Raj Seknametla, Rajasekhar Sunkara</t>
  </si>
  <si>
    <t xml:space="preserve">Independent Researcher, Independent Researcher</t>
  </si>
  <si>
    <t xml:space="preserve">rare</t>
  </si>
  <si>
    <t xml:space="preserve">continuous delivery, declarative infrastructure, GitOps, Kubernetes, multi-cluster management</t>
  </si>
  <si>
    <t xml:space="preserve">https://www.ijcsejournal.org/gitops-scale-multi-cluster-kubernetes/</t>
  </si>
  <si>
    <t xml:space="preserve">Eliminating Configuration Drift at Scale Using Declarative Infrastructure Automation</t>
  </si>
  <si>
    <t xml:space="preserve">International Journal of Emerging Trends in Computer Science and Information Technology</t>
  </si>
  <si>
    <t xml:space="preserve">Nadeem Siddiqui</t>
  </si>
  <si>
    <t xml:space="preserve">Independent Researcher, New York, USA</t>
  </si>
  <si>
    <t xml:space="preserve">claim</t>
  </si>
  <si>
    <t xml:space="preserve">Configuration Drift, Infrastructure As Code,
Declarative Infrastructure, Gitops, Drift Detection, Cloud
Operations, Compliance Automation, Continuous Delivery,
Infrastructure Management, Terraform, Kubernetes, Devops.</t>
  </si>
  <si>
    <t xml:space="preserve">https://ijetcsit.org/index.php/ijetcsit/article/view/715</t>
  </si>
  <si>
    <t xml:space="preserve">An In-Depth Analysis of eBPF-Based System Security Tools in Cloud-Native Environments</t>
  </si>
  <si>
    <t xml:space="preserve">IEEE Access</t>
  </si>
  <si>
    <t xml:space="preserve">Jin Her, Jongseop Kim, Jinwoo Kim, Seungsoo Lee</t>
  </si>
  <si>
    <t xml:space="preserve">Incheon National University, Incheon 22012, Republic of Korea,
    Kwangwoon University, Seoul 01897, Republic of Korea,
    Kwangwoon University, Seoul 01897, Republic of Korea,
    Incheon National University, Incheon 22012, Republic of Korea</t>
  </si>
  <si>
    <t xml:space="preserve">comparative</t>
  </si>
  <si>
    <t xml:space="preserve">Source code https://github.com/gjwls/ESST-eval/tree/main Diagrams,</t>
  </si>
  <si>
    <t xml:space="preserve">curious</t>
  </si>
  <si>
    <t xml:space="preserve">Cloud native security, eBPF-based system security tools,
    KubeArmor, Tetragon, Tracee, Falco</t>
  </si>
  <si>
    <t xml:space="preserve">https://ieeexplore.ieee.org/abstract/document/11146725</t>
  </si>
  <si>
    <t xml:space="preserve">Tangential</t>
  </si>
  <si>
    <t xml:space="preserve">NetEdit: An Orchestration Platform for eBPF Network Functions at Scale</t>
  </si>
  <si>
    <t xml:space="preserve">ACM SIGCOMM 2024 Conference (ACM SIGCOMM ’24)</t>
  </si>
  <si>
    <t xml:space="preserve"> "Theophilus A. Benson", "Prashanth Kannan, Prankur Gupta,
    Balasubramanian Madhavan, Kumar Saurabh Arora, Jie Meng,
    Martin Lau, Abhishek Dhamija, "Rajiv Krishnamurthy,
    Srikanth Sundaresan, Neil Spring, Ying Zhang</t>
  </si>
  <si>
    <t xml:space="preserve">Carnegie Mellon University, Meta, Meta, Meta, Meta, Meta,
    Meta, Meta, Meta, Meta, Meta, Meta</t>
  </si>
  <si>
    <t xml:space="preserve">eBPF, Network Management, Orchestration</t>
  </si>
  <si>
    <t xml:space="preserve">https://dl.acm.org/doi/10.1145/3651890.3672227</t>
  </si>
  <si>
    <t xml:space="preserve">Integrating Continuous Compliance into DevSecOps Pipelines: A Data Engineering Perspective</t>
  </si>
  <si>
    <t xml:space="preserve">Software (MDPI)</t>
  </si>
  <si>
    <t xml:space="preserve">Aleksandr Zakharchenko</t>
  </si>
  <si>
    <t xml:space="preserve">Independent Researcher, Union, NJ 07083, USA</t>
  </si>
  <si>
    <t xml:space="preserve">Source code  https://github.com/zakhalex/ccf-experiment , Diagrams</t>
  </si>
  <si>
    <t xml:space="preserve">DevSecOps; continuous compliance; data engineering; Policy-as-Code (PaC);
Open Policy Agent (OPA); supply chain security; SLSA; Sigstore; Data Governance;
Compliance-as-Code; Data Lakehouse; Regulatory Technology (RegTech)</t>
  </si>
  <si>
    <t xml:space="preserve">https://doi.org/10.3390/software5010006</t>
  </si>
  <si>
    <t xml:space="preserve">An empirical study of Policy-as-Code adoption in open-source software projects</t>
  </si>
  <si>
    <t xml:space="preserve">The Journal of Systems and Software</t>
  </si>
  <si>
    <t xml:space="preserve">Research Article </t>
  </si>
  <si>
    <t xml:space="preserve">Patrick Loic Foalem; Leuson Da Silva; Foutse Khomh; Ettore Merlo</t>
  </si>
  <si>
    <t xml:space="preserve">Department of Computer and Software Engineering, Polytechnique Montréal, Montréal, H3T 1J4, Quebec, Canada</t>
  </si>
  <si>
    <t xml:space="preserve">Empirical; Policy as Code; PaC tools; GitHub repository</t>
  </si>
  <si>
    <t xml:space="preserve">https://doi.org/10.1016/j.jss.2026.113028</t>
  </si>
  <si>
    <t xml:space="preserve">Compliance as Code: Automating Compliance in Cloud Systems</t>
  </si>
  <si>
    <t xml:space="preserve">International Journal on Recent and Innovation Trends in Computing and Communication (IJRITCC)</t>
  </si>
  <si>
    <t xml:space="preserve">Deepak Shivrambhai Antiya</t>
  </si>
  <si>
    <t xml:space="preserve">Senior Regulatory Compliance Specialist (Independent Researcher), Oracle, California, USA</t>
  </si>
  <si>
    <t xml:space="preserve">new knowledge</t>
  </si>
  <si>
    <t xml:space="preserve">solution, adherence, regulatory, accuracy</t>
  </si>
  <si>
    <t xml:space="preserve">https://www.researchgate.net/publication/388684855_Compliance_as_Code_Automating_Compliance_in_Cloud_Systems</t>
  </si>
  <si>
    <t xml:space="preserve">Automated compliance management in hybrid cloud architectures: A policy-as-code approach</t>
  </si>
  <si>
    <t xml:space="preserve">World Journal of Advanced Engineering Technology and Sciences (WJAETS)</t>
  </si>
  <si>
    <t xml:space="preserve">Adetayo Adeyinka</t>
  </si>
  <si>
    <t xml:space="preserve">Independent Researcher, USA</t>
  </si>
  <si>
    <t xml:space="preserve">Hybrid Cloud, Policy-as-Code, Compliance Automation, Regulatory Compliance, Continuous Compliance</t>
  </si>
  <si>
    <t xml:space="preserve">https://www.researchgate.net/publication/393053017_Automated_compliance_management_in_hybrid_cloud_architectures_A_policy-as-code_approach</t>
  </si>
  <si>
    <t xml:space="preserve">Formal Verification for Preventing Misconfigured Access Policies in Kubernetes Clusters</t>
  </si>
  <si>
    <t xml:space="preserve">Aditya Sissodiya; Eric Chiquito; Ulf Bodin; Johan Kristiansson</t>
  </si>
  <si>
    <t xml:space="preserve">Department of Computer Science, Electrical, and Space Engineering, Luleå University of Technology, 97187 Luleå, Sweden</t>
  </si>
  <si>
    <t xml:space="preserve">Source code , https://github.com/adityasissodiya/k8s-abac-verification-demo, Diagrams</t>
  </si>
  <si>
    <t xml:space="preserve">Attribute-based access control, cloud-native security, formal verification, Kubernetes, policy-as-code, role-based access control, SMT solvers</t>
  </si>
  <si>
    <t xml:space="preserve">https://doi.org/10.1109/ACCESS.2025.3597504</t>
  </si>
  <si>
    <t xml:space="preserve">Research on Policy-as-Code for Implementation of Role-based and Attribute-based Access Control</t>
  </si>
  <si>
    <t xml:space="preserve">CEUR Workshop Proceedings (CPITS 2025 — Workshop on Cybersecurity Providing in Information and Telecommunication Systems, Vol. 3991)</t>
  </si>
  <si>
    <t xml:space="preserve">Workshop</t>
  </si>
  <si>
    <t xml:space="preserve">Oleksandr Vakhula; Ivan Opirskyy; Pavlo Vorobets; Orest Bobko; Oleh Kulinich</t>
  </si>
  <si>
    <t xml:space="preserve">Borys Grinchenko Kyiv Metropolitan University, Kyiv, Ukraine
Royal Holloway, University of London, London, UK
Kharkiv National University of Radio Electronics, Kharkiv, Ukraine
Lviv Polytechnic National University, Lviv, Ukraine</t>
  </si>
  <si>
    <t xml:space="preserve">policy-as-code, PaC, role-based access control, attribute-based access control, Kubernetes, continuous integration, continuous development, security-as-code, open policy agent, gatekeeper</t>
  </si>
  <si>
    <t xml:space="preserve">https://ceur-ws.org/Vol-3991/paper11.pdf</t>
  </si>
  <si>
    <t xml:space="preserve">Automating Cybersecurity Compliance in DevSecOps with Open Information Model for Security as Code</t>
  </si>
  <si>
    <t xml:space="preserve">4th Eclipse Security, AI, Architecture and Modelling Conference on Data Space (eSAAM 2024), ACM</t>
  </si>
  <si>
    <t xml:space="preserve">Henry Haverinen; Tomi Janhunen; Tero Päivärinta; Suvi Kaartinen; Sami Lempinen; Sami Merilä</t>
  </si>
  <si>
    <t xml:space="preserve">Cyberismo, Tampere, Finland; Tampere University, Tampere, Finland; University of Oulu, Oulu, Finland</t>
  </si>
  <si>
    <t xml:space="preserve">Source code, https://github.com/CyberismoCom/ , Diagrams</t>
  </si>
  <si>
    <t xml:space="preserve">Cybersecurity management, compliance, process adoption, DevOps, DevSecOps, Everything as Code, Security as Code, knowledge representation and reasoning, answer set programming, open source security</t>
  </si>
  <si>
    <t xml:space="preserve">https://dl.acm.org/doi/epdf/10.1145/3685651.3686700</t>
  </si>
  <si>
    <t xml:space="preserve">Other non-scientific sources for context(white-papers, blogs, magazines or other self-published reports) </t>
  </si>
  <si>
    <t xml:space="preserve">Policy as Code in GitOps: Implementing Compliance Automation with OPA and Kyverno</t>
  </si>
  <si>
    <t xml:space="preserve">none(ResearchGate / Pre-print)</t>
  </si>
  <si>
    <t xml:space="preserve">whitepaper</t>
  </si>
  <si>
    <t xml:space="preserve">Tools track</t>
  </si>
  <si>
    <t xml:space="preserve">Winner Olabiyi</t>
  </si>
  <si>
    <t xml:space="preserve">Unknown</t>
  </si>
  <si>
    <t xml:space="preserve">source code, architecture diagrams</t>
  </si>
  <si>
    <t xml:space="preserve">Testing features</t>
  </si>
  <si>
    <t xml:space="preserve">Policy as Code, OPA, Kyverno, Compliance Automation, GitOps Governance</t>
  </si>
  <si>
    <t xml:space="preserve">https://www.researchgate.net/profile/Paul-Anderson-62/publication/404400476_Policy_as_Code_in_GitOps_Implementing_Compliance_Automation_with_OPA_and_Kyverno/links/69f89b76db00ec75d02e8b90/Policy-as-Code-in-GitOps-Implementing-Compliance-Automation-with-OPA-and-Kyverno.pdf</t>
  </si>
  <si>
    <t xml:space="preserve">Predictive Drift Detection and Remediation in Multi-Cloud Infrastructure Using NLP-Driven Compliance Models</t>
  </si>
  <si>
    <t xml:space="preserve">none(ResearchGate)</t>
  </si>
  <si>
    <t xml:space="preserve">Dr. Aris Thorne, Dr. Lena Voss, Prof. Kenji Sato</t>
  </si>
  <si>
    <t xml:space="preserve"> Institute of Advanced Digital Technologies, Vienna, Austria,
    Northern University, Oslo, Norway,
    Pacific Rim Technical University, Tokyo, Japan</t>
  </si>
  <si>
    <t xml:space="preserve"> Configuration Drift, Predictive Compliance,
    Natural Language Processing (NLP), Policy-as-Code,
    Multi-Cloud Governance</t>
  </si>
  <si>
    <t xml:space="preserve">https://www.researchgate.net/publication/400081468</t>
  </si>
  <si>
    <t xml:space="preserve">Adjacent</t>
  </si>
  <si>
    <t xml:space="preserve">Security and Compliance in GitOps: Best Practices and Challenges</t>
  </si>
  <si>
    <t xml:space="preserve">None / not specified (ResearchGate)</t>
  </si>
  <si>
    <t xml:space="preserve">Mia Cate</t>
  </si>
  <si>
    <t xml:space="preserve">Obafemi Awolowo University
</t>
  </si>
  <si>
    <t xml:space="preserve">GitOps, Security, Compliance, Best Practices, Challenges, Automation, Access
Control, Infrastructure-as-Code, Continuous Integration, Continuous Delivery, Auditability,
Regulatory Compliance, GDPR, SOC 2, HIPAA.</t>
  </si>
  <si>
    <t xml:space="preserve">https://www.researchgate.net/publication/388173617_Security_and_Compliance_in_GitOps_Best_Practices_and_Challenges</t>
  </si>
  <si>
    <t xml:space="preserve">Enforcing Application-Layer Policies in eBPF</t>
  </si>
  <si>
    <t xml:space="preserve">arXiv (preprint)</t>
  </si>
  <si>
    <t xml:space="preserve">Aurojit Panda, Ayush Mishra, Sebastiano Miano,
    Gianni Antichi, Laurent Vanbever, Laurin Brandner</t>
  </si>
  <si>
    <t xml:space="preserve">NYU, ETH Zürich, Nvidia,
    Politecnico di Milano, ETH Zürich, ETH Zürich</t>
  </si>
  <si>
    <t xml:space="preserve">Source code (https://anonymous.4open.science/r/beeline),   Diagrams</t>
  </si>
  <si>
    <t xml:space="preserve">eBPF, service mesh, service proxy, HTTP</t>
  </si>
  <si>
    <t xml:space="preserve">https://arxiv.org/abs/2605.31084</t>
  </si>
  <si>
    <t xml:space="preserve">Improving the Security of Containerized Workloads using Transparency and Traceability Services</t>
  </si>
  <si>
    <t xml:space="preserve"> Nikos Fotiou, Lefteris Georgiadis, Ignacio Lacalle,
    George C. Polyzos, Vasilios A. Siris</t>
  </si>
  <si>
    <t xml:space="preserve">ExcID, Athens, Greece,
    ExcID, Athens, Greece,
    Universitat Politècnica de València, Valencia, Spain,
    Athens University of Economics and Business, Greece; Chinese University of Hong Kong, Shenzhen, China,
    Athens University of Economics and Business, Greece</t>
  </si>
  <si>
    <t xml:space="preserve">Source code https://github.com/excid-io/staas, Diagrams</t>
  </si>
  <si>
    <t xml:space="preserve">container image signing, transparency logs,
    policy-as-code, software supply chain security</t>
  </si>
  <si>
    <t xml:space="preserve">https://arxiv.org/abs/2608.00660</t>
  </si>
  <si>
    <t xml:space="preserve">Event-Driven Enforcement of CIS Security Policies in Kubernetes Worker Nodes</t>
  </si>
  <si>
    <t xml:space="preserve">ResearchGate / Pre-print</t>
  </si>
  <si>
    <t xml:space="preserve">Dr. Michael Hansen, Dr. Kevin Mitchell,
    Prof. Amanda Foster, Dr. James Peterson</t>
  </si>
  <si>
    <t xml:space="preserve"> Stanford University, CA, USA,
    Carnegie Mellon University, PA, USA,
    University of Michigan, MI, USA,
    Independent Researcher, former Principal Engineer at Red Hat, Boston, MA, USA</t>
  </si>
  <si>
    <t xml:space="preserve">Kubernetes security, CIS benchmarks,
    event-driven architecture, worker node hardening, eBPF</t>
  </si>
  <si>
    <t xml:space="preserve">https://www.researchgate.net/publication/404193000_Event-Driven_Enforcement_of_CIS_Security_Policies_in_Kubernetes_Worker_Nodes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</si>
</sst>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C9211E"/>
      <name val="Times New Roman"/>
      <family val="1"/>
      <charset val="1"/>
    </font>
    <font>
      <b val="true"/>
      <sz val="17"/>
      <color rgb="FFC9211E"/>
      <name val="Times New Roman"/>
      <family val="1"/>
    </font>
    <font>
      <b val="true"/>
      <sz val="17"/>
      <color rgb="FFC9211E"/>
      <name val="Calibri"/>
      <family val="2"/>
      <charset val="1"/>
    </font>
    <font>
      <sz val="14"/>
      <color rgb="FF00000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oi.org/10.1145/3793302.3793355" TargetMode="External"/><Relationship Id="rId2" Type="http://schemas.openxmlformats.org/officeDocument/2006/relationships/hyperlink" Target="https://ieeexplore.ieee.org/document/10643942" TargetMode="External"/><Relationship Id="rId3" Type="http://schemas.openxmlformats.org/officeDocument/2006/relationships/hyperlink" Target="https://doi.org/10.1109/SANER-C67878.2026.00038" TargetMode="External"/><Relationship Id="rId4" Type="http://schemas.openxmlformats.org/officeDocument/2006/relationships/hyperlink" Target="https://github.com/lmpnogueira/policy-reuse-evaluation" TargetMode="External"/><Relationship Id="rId5" Type="http://schemas.openxmlformats.org/officeDocument/2006/relationships/hyperlink" Target="https://doi.org/10.3390/computers15070453" TargetMode="External"/><Relationship Id="rId6" Type="http://schemas.openxmlformats.org/officeDocument/2006/relationships/hyperlink" Target="https://doi.org/10.32628/CSEIT235148" TargetMode="External"/><Relationship Id="rId7" Type="http://schemas.openxmlformats.org/officeDocument/2006/relationships/hyperlink" Target="https://www.ijcsejournal.org/gitops-scale-multi-cluster-kubernetes/" TargetMode="External"/><Relationship Id="rId8" Type="http://schemas.openxmlformats.org/officeDocument/2006/relationships/hyperlink" Target="https://ijetcsit.org/index.php/ijetcsit/article/view/715" TargetMode="External"/><Relationship Id="rId9" Type="http://schemas.openxmlformats.org/officeDocument/2006/relationships/hyperlink" Target="https://github.com/gjwls/ESST-eval/tree/main" TargetMode="External"/><Relationship Id="rId10" Type="http://schemas.openxmlformats.org/officeDocument/2006/relationships/hyperlink" Target="https://ieeexplore.ieee.org/abstract/document/11146725" TargetMode="External"/><Relationship Id="rId11" Type="http://schemas.openxmlformats.org/officeDocument/2006/relationships/hyperlink" Target="https://dl.acm.org/doi/10.1145/3651890.3672227" TargetMode="External"/><Relationship Id="rId12" Type="http://schemas.openxmlformats.org/officeDocument/2006/relationships/hyperlink" Target="https://github.com/zakhalex/ccf-experiment" TargetMode="External"/><Relationship Id="rId13" Type="http://schemas.openxmlformats.org/officeDocument/2006/relationships/hyperlink" Target="https://doi.org/10.3390/software5010006" TargetMode="External"/><Relationship Id="rId14" Type="http://schemas.openxmlformats.org/officeDocument/2006/relationships/hyperlink" Target="https://doi.org/10.1016/j.jss.2026.113028" TargetMode="External"/><Relationship Id="rId15" Type="http://schemas.openxmlformats.org/officeDocument/2006/relationships/hyperlink" Target="https://www.researchgate.net/publication/388684855_Compliance_as_Code_Automating_Compliance_in_Cloud_Systems" TargetMode="External"/><Relationship Id="rId16" Type="http://schemas.openxmlformats.org/officeDocument/2006/relationships/hyperlink" Target="https://www.researchgate.net/publication/393053017_Automated_compliance_management_in_hybrid_cloud_architectures_A_policy-as-code_approach" TargetMode="External"/><Relationship Id="rId17" Type="http://schemas.openxmlformats.org/officeDocument/2006/relationships/hyperlink" Target="https://github.com/adityasissodiya/k8s-abac-verification-demo" TargetMode="External"/><Relationship Id="rId18" Type="http://schemas.openxmlformats.org/officeDocument/2006/relationships/hyperlink" Target="https://doi.org/10.1109/ACCESS.2025.3597504" TargetMode="External"/><Relationship Id="rId19" Type="http://schemas.openxmlformats.org/officeDocument/2006/relationships/hyperlink" Target="https://ceur-ws.org/Vol-3991/paper11.pdf" TargetMode="External"/><Relationship Id="rId20" Type="http://schemas.openxmlformats.org/officeDocument/2006/relationships/hyperlink" Target="https://github.com/CyberismoCom/" TargetMode="External"/><Relationship Id="rId21" Type="http://schemas.openxmlformats.org/officeDocument/2006/relationships/hyperlink" Target="https://dl.acm.org/doi/epdf/10.1145/3685651.3686700" TargetMode="External"/><Relationship Id="rId22" Type="http://schemas.openxmlformats.org/officeDocument/2006/relationships/hyperlink" Target="https://www.researchgate.net/profile/Paul-Anderson-62/publication/404400476_Policy_as_Code_in_GitOps_Implementing_Compliance_Automation_with_OPA_and_Kyverno/links/69f89b76db00ec75d02e8b90/Policy-as-Code-in-GitOps-Implementing-Compliance-Automation-with-OP" TargetMode="External"/><Relationship Id="rId23" Type="http://schemas.openxmlformats.org/officeDocument/2006/relationships/hyperlink" Target="https://www.researchgate.net/publication/400081468" TargetMode="External"/><Relationship Id="rId24" Type="http://schemas.openxmlformats.org/officeDocument/2006/relationships/hyperlink" Target="https://www.researchgate.net/publication/388173617_Security_and_Compliance_in_GitOps_Best_Practices_and_Challenges" TargetMode="External"/><Relationship Id="rId25" Type="http://schemas.openxmlformats.org/officeDocument/2006/relationships/hyperlink" Target="https://anonymous.4open.science/r/beeline" TargetMode="External"/><Relationship Id="rId26" Type="http://schemas.openxmlformats.org/officeDocument/2006/relationships/hyperlink" Target="https://arxiv.org/abs/2605.31084" TargetMode="External"/><Relationship Id="rId27" Type="http://schemas.openxmlformats.org/officeDocument/2006/relationships/hyperlink" Target="https://github.com/excid-io/staas" TargetMode="External"/><Relationship Id="rId28" Type="http://schemas.openxmlformats.org/officeDocument/2006/relationships/hyperlink" Target="https://arxiv.org/abs/2608.00660" TargetMode="External"/><Relationship Id="rId29" Type="http://schemas.openxmlformats.org/officeDocument/2006/relationships/hyperlink" Target="https://www.researchgate.net/publication/404193000_Event-Driven_Enforcement_of_CIS_Security_Policies_in_Kubernetes_Worker_Node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29" colorId="64" zoomScale="100" zoomScaleNormal="100" zoomScalePageLayoutView="100" workbookViewId="0">
      <selection pane="topLeft" activeCell="D39" activeCellId="0" sqref="D39"/>
    </sheetView>
  </sheetViews>
  <sheetFormatPr defaultColWidth="19.66796875" defaultRowHeight="15" zeroHeight="false" outlineLevelRow="0" outlineLevelCol="0"/>
  <cols>
    <col collapsed="false" customWidth="true" hidden="false" outlineLevel="0" max="1" min="1" style="1" width="9.89"/>
    <col collapsed="false" customWidth="true" hidden="false" outlineLevel="0" max="2" min="2" style="1" width="14.02"/>
    <col collapsed="false" customWidth="true" hidden="false" outlineLevel="0" max="3" min="3" style="1" width="27.33"/>
    <col collapsed="false" customWidth="true" hidden="false" outlineLevel="0" max="4" min="4" style="1" width="36.91"/>
    <col collapsed="false" customWidth="true" hidden="false" outlineLevel="0" max="5" min="5" style="1" width="36.41"/>
    <col collapsed="false" customWidth="false" hidden="false" outlineLevel="0" max="6" min="6" style="1" width="19.66"/>
    <col collapsed="false" customWidth="true" hidden="false" outlineLevel="0" max="7" min="7" style="1" width="33.38"/>
    <col collapsed="false" customWidth="true" hidden="false" outlineLevel="0" max="8" min="8" style="1" width="48.11"/>
    <col collapsed="false" customWidth="true" hidden="false" outlineLevel="0" max="9" min="9" style="1" width="49.32"/>
    <col collapsed="false" customWidth="false" hidden="false" outlineLevel="0" max="1024" min="10" style="1" width="19.66"/>
  </cols>
  <sheetData>
    <row r="1" s="4" customFormat="true" ht="94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14.9" hidden="false" customHeight="false" outlineLevel="0" collapsed="false">
      <c r="A2" s="1" t="n">
        <v>1</v>
      </c>
      <c r="B2" s="5" t="n">
        <v>2026</v>
      </c>
      <c r="C2" s="5" t="s">
        <v>18</v>
      </c>
      <c r="D2" s="5" t="s">
        <v>19</v>
      </c>
      <c r="E2" s="5" t="s">
        <v>20</v>
      </c>
      <c r="F2" s="5" t="s">
        <v>21</v>
      </c>
      <c r="G2" s="5" t="s">
        <v>22</v>
      </c>
      <c r="H2" s="5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6" t="s">
        <v>29</v>
      </c>
      <c r="O2" s="1" t="s">
        <v>30</v>
      </c>
      <c r="P2" s="5" t="s">
        <v>31</v>
      </c>
      <c r="Q2" s="5" t="s">
        <v>32</v>
      </c>
      <c r="R2" s="1" t="s">
        <v>33</v>
      </c>
    </row>
    <row r="3" customFormat="false" ht="100.7" hidden="false" customHeight="false" outlineLevel="0" collapsed="false">
      <c r="A3" s="1" t="n">
        <v>2</v>
      </c>
      <c r="B3" s="1" t="n">
        <v>2024</v>
      </c>
      <c r="C3" s="5" t="s">
        <v>34</v>
      </c>
      <c r="D3" s="5" t="s">
        <v>35</v>
      </c>
      <c r="E3" s="1" t="s">
        <v>20</v>
      </c>
      <c r="F3" s="1" t="s">
        <v>36</v>
      </c>
      <c r="G3" s="1" t="s">
        <v>37</v>
      </c>
      <c r="H3" s="1" t="s">
        <v>38</v>
      </c>
      <c r="I3" s="1" t="s">
        <v>39</v>
      </c>
      <c r="J3" s="1" t="s">
        <v>40</v>
      </c>
      <c r="K3" s="1" t="s">
        <v>26</v>
      </c>
      <c r="L3" s="1" t="s">
        <v>41</v>
      </c>
      <c r="M3" s="1" t="s">
        <v>28</v>
      </c>
      <c r="N3" s="1" t="s">
        <v>29</v>
      </c>
      <c r="O3" s="1" t="s">
        <v>30</v>
      </c>
      <c r="P3" s="1" t="s">
        <v>42</v>
      </c>
      <c r="Q3" s="5" t="s">
        <v>43</v>
      </c>
      <c r="R3" s="1" t="s">
        <v>44</v>
      </c>
    </row>
    <row r="4" customFormat="false" ht="129.1" hidden="false" customHeight="false" outlineLevel="0" collapsed="false">
      <c r="A4" s="1" t="n">
        <v>3</v>
      </c>
      <c r="B4" s="1" t="n">
        <v>2026</v>
      </c>
      <c r="C4" s="1" t="s">
        <v>45</v>
      </c>
      <c r="D4" s="1" t="s">
        <v>46</v>
      </c>
      <c r="E4" s="1" t="s">
        <v>20</v>
      </c>
      <c r="F4" s="1" t="s">
        <v>47</v>
      </c>
      <c r="G4" s="1" t="s">
        <v>48</v>
      </c>
      <c r="H4" s="1" t="s">
        <v>49</v>
      </c>
      <c r="I4" s="1" t="s">
        <v>50</v>
      </c>
      <c r="J4" s="1" t="s">
        <v>25</v>
      </c>
      <c r="K4" s="1" t="s">
        <v>26</v>
      </c>
      <c r="L4" s="1" t="s">
        <v>51</v>
      </c>
      <c r="M4" s="1" t="s">
        <v>28</v>
      </c>
      <c r="N4" s="1" t="s">
        <v>29</v>
      </c>
      <c r="O4" s="1" t="s">
        <v>30</v>
      </c>
      <c r="P4" s="1" t="s">
        <v>52</v>
      </c>
      <c r="Q4" s="1" t="s">
        <v>53</v>
      </c>
      <c r="R4" s="1" t="s">
        <v>33</v>
      </c>
    </row>
    <row r="5" customFormat="false" ht="143.25" hidden="false" customHeight="false" outlineLevel="0" collapsed="false">
      <c r="A5" s="1" t="n">
        <v>4</v>
      </c>
      <c r="B5" s="1" t="n">
        <v>2026</v>
      </c>
      <c r="C5" s="1" t="s">
        <v>54</v>
      </c>
      <c r="D5" s="1" t="s">
        <v>55</v>
      </c>
      <c r="E5" s="1" t="s">
        <v>56</v>
      </c>
      <c r="F5" s="1" t="s">
        <v>57</v>
      </c>
      <c r="G5" s="1" t="s">
        <v>58</v>
      </c>
      <c r="H5" s="1" t="s">
        <v>59</v>
      </c>
      <c r="I5" s="1" t="s">
        <v>60</v>
      </c>
      <c r="J5" s="1" t="s">
        <v>61</v>
      </c>
      <c r="K5" s="1" t="s">
        <v>62</v>
      </c>
      <c r="L5" s="1" t="s">
        <v>63</v>
      </c>
      <c r="M5" s="1" t="s">
        <v>28</v>
      </c>
      <c r="N5" s="1" t="s">
        <v>29</v>
      </c>
      <c r="O5" s="1" t="s">
        <v>30</v>
      </c>
      <c r="P5" s="1" t="s">
        <v>64</v>
      </c>
      <c r="Q5" s="1" t="s">
        <v>65</v>
      </c>
      <c r="R5" s="1" t="s">
        <v>44</v>
      </c>
    </row>
    <row r="6" customFormat="false" ht="100.7" hidden="false" customHeight="false" outlineLevel="0" collapsed="false">
      <c r="A6" s="1" t="n">
        <f aca="false" t="array" ref="A6:A6">5</f>
        <v>5</v>
      </c>
      <c r="B6" s="1" t="n">
        <v>2023</v>
      </c>
      <c r="C6" s="1" t="s">
        <v>66</v>
      </c>
      <c r="D6" s="1" t="s">
        <v>67</v>
      </c>
      <c r="E6" s="1" t="s">
        <v>56</v>
      </c>
      <c r="F6" s="1" t="s">
        <v>68</v>
      </c>
      <c r="G6" s="1" t="s">
        <v>69</v>
      </c>
      <c r="H6" s="1" t="s">
        <v>70</v>
      </c>
      <c r="I6" s="1" t="s">
        <v>39</v>
      </c>
      <c r="J6" s="1" t="s">
        <v>71</v>
      </c>
      <c r="K6" s="1" t="s">
        <v>26</v>
      </c>
      <c r="L6" s="1" t="s">
        <v>72</v>
      </c>
      <c r="M6" s="1" t="s">
        <v>28</v>
      </c>
      <c r="N6" s="1" t="s">
        <v>29</v>
      </c>
      <c r="O6" s="1" t="s">
        <v>30</v>
      </c>
      <c r="P6" s="1" t="s">
        <v>73</v>
      </c>
      <c r="Q6" s="1" t="s">
        <v>74</v>
      </c>
      <c r="R6" s="1" t="s">
        <v>44</v>
      </c>
    </row>
    <row r="7" customFormat="false" ht="72.35" hidden="false" customHeight="false" outlineLevel="0" collapsed="false">
      <c r="A7" s="1" t="n">
        <f aca="false" t="array" ref="A7:A7">6</f>
        <v>6</v>
      </c>
      <c r="B7" s="1" t="n">
        <v>2023</v>
      </c>
      <c r="C7" s="1" t="s">
        <v>75</v>
      </c>
      <c r="D7" s="1" t="s">
        <v>76</v>
      </c>
      <c r="E7" s="1" t="s">
        <v>77</v>
      </c>
      <c r="F7" s="1" t="s">
        <v>21</v>
      </c>
      <c r="G7" s="1" t="s">
        <v>78</v>
      </c>
      <c r="H7" s="1" t="s">
        <v>79</v>
      </c>
      <c r="I7" s="1" t="s">
        <v>39</v>
      </c>
      <c r="J7" s="1" t="s">
        <v>71</v>
      </c>
      <c r="K7" s="1" t="s">
        <v>28</v>
      </c>
      <c r="L7" s="1" t="s">
        <v>41</v>
      </c>
      <c r="M7" s="1" t="s">
        <v>80</v>
      </c>
      <c r="N7" s="1" t="s">
        <v>29</v>
      </c>
      <c r="O7" s="1" t="s">
        <v>30</v>
      </c>
      <c r="P7" s="1" t="s">
        <v>81</v>
      </c>
      <c r="Q7" s="1" t="s">
        <v>82</v>
      </c>
      <c r="R7" s="1" t="s">
        <v>33</v>
      </c>
    </row>
    <row r="8" customFormat="false" ht="185.8" hidden="false" customHeight="false" outlineLevel="0" collapsed="false">
      <c r="A8" s="1" t="n">
        <f aca="false" t="array" ref="A8:A8">7</f>
        <v>7</v>
      </c>
      <c r="B8" s="1" t="n">
        <v>2026</v>
      </c>
      <c r="C8" s="1" t="s">
        <v>83</v>
      </c>
      <c r="D8" s="1" t="s">
        <v>84</v>
      </c>
      <c r="E8" s="1" t="s">
        <v>56</v>
      </c>
      <c r="F8" s="1" t="s">
        <v>21</v>
      </c>
      <c r="G8" s="1" t="s">
        <v>85</v>
      </c>
      <c r="H8" s="1" t="s">
        <v>86</v>
      </c>
      <c r="I8" s="1" t="s">
        <v>28</v>
      </c>
      <c r="J8" s="1" t="s">
        <v>87</v>
      </c>
      <c r="K8" s="1" t="s">
        <v>26</v>
      </c>
      <c r="L8" s="1" t="s">
        <v>41</v>
      </c>
      <c r="M8" s="1" t="s">
        <v>28</v>
      </c>
      <c r="N8" s="1" t="s">
        <v>29</v>
      </c>
      <c r="O8" s="1" t="s">
        <v>30</v>
      </c>
      <c r="P8" s="1" t="s">
        <v>88</v>
      </c>
      <c r="Q8" s="1" t="s">
        <v>89</v>
      </c>
      <c r="R8" s="1" t="s">
        <v>33</v>
      </c>
    </row>
    <row r="9" customFormat="false" ht="86.55" hidden="false" customHeight="false" outlineLevel="0" collapsed="false">
      <c r="A9" s="1" t="n">
        <f aca="false" t="array" ref="A9:A9">8</f>
        <v>8</v>
      </c>
      <c r="B9" s="1" t="n">
        <v>2025</v>
      </c>
      <c r="C9" s="1" t="s">
        <v>90</v>
      </c>
      <c r="D9" s="1" t="s">
        <v>91</v>
      </c>
      <c r="E9" s="1" t="s">
        <v>56</v>
      </c>
      <c r="F9" s="1" t="s">
        <v>28</v>
      </c>
      <c r="G9" s="1" t="s">
        <v>92</v>
      </c>
      <c r="H9" s="1" t="s">
        <v>93</v>
      </c>
      <c r="I9" s="1" t="s">
        <v>94</v>
      </c>
      <c r="J9" s="1" t="s">
        <v>61</v>
      </c>
      <c r="K9" s="1" t="s">
        <v>95</v>
      </c>
      <c r="L9" s="1" t="s">
        <v>63</v>
      </c>
      <c r="M9" s="1" t="s">
        <v>28</v>
      </c>
      <c r="N9" s="1" t="s">
        <v>96</v>
      </c>
      <c r="O9" s="1" t="s">
        <v>30</v>
      </c>
      <c r="P9" s="1" t="s">
        <v>97</v>
      </c>
      <c r="Q9" s="1" t="s">
        <v>98</v>
      </c>
      <c r="R9" s="1" t="s">
        <v>99</v>
      </c>
    </row>
    <row r="10" customFormat="false" ht="114.9" hidden="false" customHeight="false" outlineLevel="0" collapsed="false">
      <c r="A10" s="1" t="n">
        <f aca="false" t="array" ref="A10:A10">9</f>
        <v>9</v>
      </c>
      <c r="B10" s="1" t="n">
        <v>2024</v>
      </c>
      <c r="C10" s="1" t="s">
        <v>100</v>
      </c>
      <c r="D10" s="1" t="s">
        <v>101</v>
      </c>
      <c r="E10" s="1" t="s">
        <v>20</v>
      </c>
      <c r="F10" s="1" t="s">
        <v>21</v>
      </c>
      <c r="G10" s="1" t="s">
        <v>102</v>
      </c>
      <c r="H10" s="1" t="s">
        <v>103</v>
      </c>
      <c r="I10" s="1" t="s">
        <v>39</v>
      </c>
      <c r="J10" s="1" t="s">
        <v>71</v>
      </c>
      <c r="K10" s="1" t="s">
        <v>26</v>
      </c>
      <c r="L10" s="1" t="s">
        <v>72</v>
      </c>
      <c r="M10" s="1" t="s">
        <v>80</v>
      </c>
      <c r="N10" s="1" t="s">
        <v>29</v>
      </c>
      <c r="O10" s="1" t="s">
        <v>30</v>
      </c>
      <c r="P10" s="1" t="s">
        <v>104</v>
      </c>
      <c r="Q10" s="1" t="s">
        <v>105</v>
      </c>
      <c r="R10" s="1" t="s">
        <v>99</v>
      </c>
    </row>
    <row r="11" customFormat="false" ht="185.8" hidden="false" customHeight="false" outlineLevel="0" collapsed="false">
      <c r="A11" s="1" t="n">
        <f aca="false" t="array" ref="A11:A11">10</f>
        <v>10</v>
      </c>
      <c r="B11" s="1" t="n">
        <v>2026</v>
      </c>
      <c r="C11" s="1" t="s">
        <v>106</v>
      </c>
      <c r="D11" s="1" t="s">
        <v>107</v>
      </c>
      <c r="E11" s="1" t="s">
        <v>56</v>
      </c>
      <c r="F11" s="1" t="s">
        <v>28</v>
      </c>
      <c r="G11" s="1" t="s">
        <v>108</v>
      </c>
      <c r="H11" s="1" t="s">
        <v>109</v>
      </c>
      <c r="I11" s="1" t="s">
        <v>39</v>
      </c>
      <c r="J11" s="1" t="s">
        <v>71</v>
      </c>
      <c r="K11" s="1" t="s">
        <v>110</v>
      </c>
      <c r="L11" s="1" t="s">
        <v>28</v>
      </c>
      <c r="M11" s="1" t="s">
        <v>28</v>
      </c>
      <c r="N11" s="1" t="s">
        <v>29</v>
      </c>
      <c r="O11" s="1" t="s">
        <v>30</v>
      </c>
      <c r="P11" s="1" t="s">
        <v>111</v>
      </c>
      <c r="Q11" s="1" t="s">
        <v>112</v>
      </c>
      <c r="R11" s="1" t="s">
        <v>44</v>
      </c>
    </row>
    <row r="12" customFormat="false" ht="44" hidden="false" customHeight="false" outlineLevel="0" collapsed="false">
      <c r="A12" s="1" t="n">
        <f aca="false" t="array" ref="A12:A12">11</f>
        <v>11</v>
      </c>
      <c r="B12" s="1" t="n">
        <v>2026</v>
      </c>
      <c r="C12" s="1" t="s">
        <v>113</v>
      </c>
      <c r="D12" s="1" t="s">
        <v>114</v>
      </c>
      <c r="E12" s="1" t="s">
        <v>56</v>
      </c>
      <c r="F12" s="1" t="s">
        <v>115</v>
      </c>
      <c r="G12" s="1" t="s">
        <v>116</v>
      </c>
      <c r="H12" s="1" t="s">
        <v>117</v>
      </c>
      <c r="I12" s="1" t="s">
        <v>50</v>
      </c>
      <c r="J12" s="1" t="s">
        <v>61</v>
      </c>
      <c r="K12" s="1" t="s">
        <v>26</v>
      </c>
      <c r="L12" s="1" t="s">
        <v>41</v>
      </c>
      <c r="M12" s="1" t="s">
        <v>28</v>
      </c>
      <c r="N12" s="1" t="s">
        <v>96</v>
      </c>
      <c r="O12" s="1" t="s">
        <v>30</v>
      </c>
      <c r="P12" s="1" t="s">
        <v>118</v>
      </c>
      <c r="Q12" s="1" t="s">
        <v>119</v>
      </c>
      <c r="R12" s="1" t="s">
        <v>44</v>
      </c>
    </row>
    <row r="13" customFormat="false" ht="44" hidden="false" customHeight="false" outlineLevel="0" collapsed="false">
      <c r="A13" s="1" t="n">
        <f aca="false" t="array" ref="A13:A13">12</f>
        <v>12</v>
      </c>
      <c r="B13" s="1" t="n">
        <v>2020</v>
      </c>
      <c r="C13" s="1" t="s">
        <v>120</v>
      </c>
      <c r="D13" s="1" t="s">
        <v>121</v>
      </c>
      <c r="E13" s="1" t="s">
        <v>56</v>
      </c>
      <c r="F13" s="1" t="s">
        <v>28</v>
      </c>
      <c r="G13" s="1" t="s">
        <v>122</v>
      </c>
      <c r="H13" s="1" t="s">
        <v>123</v>
      </c>
      <c r="I13" s="1" t="s">
        <v>39</v>
      </c>
      <c r="J13" s="1" t="s">
        <v>124</v>
      </c>
      <c r="K13" s="1" t="s">
        <v>26</v>
      </c>
      <c r="L13" s="1" t="s">
        <v>41</v>
      </c>
      <c r="M13" s="1" t="s">
        <v>28</v>
      </c>
      <c r="N13" s="1" t="s">
        <v>29</v>
      </c>
      <c r="O13" s="1" t="s">
        <v>30</v>
      </c>
      <c r="P13" s="1" t="s">
        <v>125</v>
      </c>
      <c r="Q13" s="1" t="s">
        <v>126</v>
      </c>
      <c r="R13" s="1" t="s">
        <v>33</v>
      </c>
    </row>
    <row r="14" customFormat="false" ht="72.35" hidden="false" customHeight="false" outlineLevel="0" collapsed="false">
      <c r="A14" s="1" t="n">
        <f aca="false" t="array" ref="A14:A14">13</f>
        <v>13</v>
      </c>
      <c r="B14" s="1" t="n">
        <v>2023</v>
      </c>
      <c r="C14" s="1" t="s">
        <v>127</v>
      </c>
      <c r="D14" s="1" t="s">
        <v>128</v>
      </c>
      <c r="E14" s="1" t="s">
        <v>56</v>
      </c>
      <c r="F14" s="1" t="s">
        <v>28</v>
      </c>
      <c r="G14" s="1" t="s">
        <v>129</v>
      </c>
      <c r="H14" s="1" t="s">
        <v>130</v>
      </c>
      <c r="I14" s="1" t="s">
        <v>28</v>
      </c>
      <c r="J14" s="1" t="s">
        <v>87</v>
      </c>
      <c r="K14" s="1" t="s">
        <v>26</v>
      </c>
      <c r="L14" s="1" t="s">
        <v>63</v>
      </c>
      <c r="M14" s="1" t="s">
        <v>28</v>
      </c>
      <c r="N14" s="1" t="s">
        <v>29</v>
      </c>
      <c r="O14" s="1" t="s">
        <v>30</v>
      </c>
      <c r="P14" s="1" t="s">
        <v>131</v>
      </c>
      <c r="Q14" s="1" t="s">
        <v>132</v>
      </c>
      <c r="R14" s="1" t="s">
        <v>33</v>
      </c>
    </row>
    <row r="15" customFormat="false" ht="114.9" hidden="false" customHeight="false" outlineLevel="0" collapsed="false">
      <c r="A15" s="1" t="n">
        <f aca="false" t="array" ref="A15:A15">14</f>
        <v>14</v>
      </c>
      <c r="B15" s="1" t="n">
        <v>2025</v>
      </c>
      <c r="C15" s="1" t="s">
        <v>133</v>
      </c>
      <c r="D15" s="1" t="s">
        <v>91</v>
      </c>
      <c r="E15" s="1" t="s">
        <v>56</v>
      </c>
      <c r="F15" s="1" t="s">
        <v>57</v>
      </c>
      <c r="G15" s="1" t="s">
        <v>134</v>
      </c>
      <c r="H15" s="1" t="s">
        <v>135</v>
      </c>
      <c r="I15" s="1" t="s">
        <v>39</v>
      </c>
      <c r="J15" s="1" t="s">
        <v>71</v>
      </c>
      <c r="K15" s="1" t="s">
        <v>136</v>
      </c>
      <c r="L15" s="1" t="s">
        <v>41</v>
      </c>
      <c r="M15" s="1" t="s">
        <v>28</v>
      </c>
      <c r="N15" s="1" t="s">
        <v>96</v>
      </c>
      <c r="O15" s="1" t="s">
        <v>30</v>
      </c>
      <c r="P15" s="1" t="s">
        <v>137</v>
      </c>
      <c r="Q15" s="1" t="s">
        <v>138</v>
      </c>
      <c r="R15" s="1" t="s">
        <v>44</v>
      </c>
    </row>
    <row r="16" customFormat="false" ht="129.1" hidden="false" customHeight="false" outlineLevel="0" collapsed="false">
      <c r="A16" s="1" t="n">
        <f aca="false" t="array" ref="A16:A16">15</f>
        <v>15</v>
      </c>
      <c r="B16" s="1" t="n">
        <v>2025</v>
      </c>
      <c r="C16" s="1" t="s">
        <v>139</v>
      </c>
      <c r="D16" s="1" t="s">
        <v>140</v>
      </c>
      <c r="E16" s="1" t="s">
        <v>20</v>
      </c>
      <c r="F16" s="1" t="s">
        <v>141</v>
      </c>
      <c r="G16" s="1" t="s">
        <v>142</v>
      </c>
      <c r="H16" s="1" t="s">
        <v>143</v>
      </c>
      <c r="I16" s="1" t="s">
        <v>28</v>
      </c>
      <c r="J16" s="1" t="s">
        <v>87</v>
      </c>
      <c r="K16" s="1" t="s">
        <v>26</v>
      </c>
      <c r="L16" s="1" t="s">
        <v>63</v>
      </c>
      <c r="M16" s="1" t="s">
        <v>28</v>
      </c>
      <c r="N16" s="1" t="s">
        <v>29</v>
      </c>
      <c r="O16" s="1" t="s">
        <v>30</v>
      </c>
      <c r="P16" s="1" t="s">
        <v>144</v>
      </c>
      <c r="Q16" s="1" t="s">
        <v>145</v>
      </c>
      <c r="R16" s="1" t="s">
        <v>33</v>
      </c>
    </row>
    <row r="17" customFormat="false" ht="157.45" hidden="false" customHeight="false" outlineLevel="0" collapsed="false">
      <c r="A17" s="1" t="n">
        <v>16</v>
      </c>
      <c r="B17" s="1" t="n">
        <v>2024</v>
      </c>
      <c r="C17" s="1" t="s">
        <v>146</v>
      </c>
      <c r="D17" s="1" t="s">
        <v>147</v>
      </c>
      <c r="E17" s="1" t="s">
        <v>20</v>
      </c>
      <c r="F17" s="1" t="s">
        <v>57</v>
      </c>
      <c r="G17" s="1" t="s">
        <v>148</v>
      </c>
      <c r="H17" s="1" t="s">
        <v>149</v>
      </c>
      <c r="I17" s="1" t="s">
        <v>39</v>
      </c>
      <c r="J17" s="1" t="s">
        <v>71</v>
      </c>
      <c r="K17" s="1" t="s">
        <v>150</v>
      </c>
      <c r="L17" s="1" t="s">
        <v>63</v>
      </c>
      <c r="M17" s="1" t="s">
        <v>28</v>
      </c>
      <c r="N17" s="1" t="s">
        <v>29</v>
      </c>
      <c r="O17" s="1" t="s">
        <v>30</v>
      </c>
      <c r="P17" s="1" t="s">
        <v>151</v>
      </c>
      <c r="Q17" s="1" t="s">
        <v>152</v>
      </c>
      <c r="R17" s="1" t="s">
        <v>33</v>
      </c>
    </row>
    <row r="18" s="4" customFormat="true" ht="42.5" hidden="false" customHeight="true" outlineLevel="0" collapsed="false">
      <c r="A18" s="3" t="s">
        <v>153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customFormat="false" ht="58.2" hidden="false" customHeight="false" outlineLevel="0" collapsed="false">
      <c r="A19" s="1" t="n">
        <f aca="false" t="array" ref="A19:A19">1</f>
        <v>1</v>
      </c>
      <c r="B19" s="1" t="n">
        <v>2026</v>
      </c>
      <c r="C19" s="1" t="s">
        <v>154</v>
      </c>
      <c r="D19" s="1" t="s">
        <v>155</v>
      </c>
      <c r="E19" s="1" t="s">
        <v>156</v>
      </c>
      <c r="F19" s="1" t="s">
        <v>157</v>
      </c>
      <c r="G19" s="1" t="s">
        <v>158</v>
      </c>
      <c r="H19" s="1" t="s">
        <v>159</v>
      </c>
      <c r="I19" s="1" t="s">
        <v>28</v>
      </c>
      <c r="J19" s="1" t="s">
        <v>61</v>
      </c>
      <c r="K19" s="1" t="s">
        <v>160</v>
      </c>
      <c r="L19" s="1" t="s">
        <v>161</v>
      </c>
      <c r="M19" s="1" t="s">
        <v>28</v>
      </c>
      <c r="N19" s="1" t="s">
        <v>29</v>
      </c>
      <c r="O19" s="1" t="s">
        <v>30</v>
      </c>
      <c r="P19" s="1" t="s">
        <v>162</v>
      </c>
      <c r="Q19" s="1" t="s">
        <v>163</v>
      </c>
      <c r="R19" s="1" t="s">
        <v>44</v>
      </c>
    </row>
    <row r="20" customFormat="false" ht="100.7" hidden="false" customHeight="false" outlineLevel="0" collapsed="false">
      <c r="A20" s="1" t="n">
        <f aca="false" t="array" ref="A20:A20">2</f>
        <v>2</v>
      </c>
      <c r="B20" s="1" t="n">
        <v>2025</v>
      </c>
      <c r="C20" s="1" t="s">
        <v>164</v>
      </c>
      <c r="D20" s="1" t="s">
        <v>165</v>
      </c>
      <c r="E20" s="1" t="s">
        <v>156</v>
      </c>
      <c r="F20" s="1" t="s">
        <v>21</v>
      </c>
      <c r="G20" s="1" t="s">
        <v>166</v>
      </c>
      <c r="H20" s="1" t="s">
        <v>167</v>
      </c>
      <c r="I20" s="1" t="s">
        <v>39</v>
      </c>
      <c r="J20" s="1" t="s">
        <v>71</v>
      </c>
      <c r="K20" s="1" t="s">
        <v>26</v>
      </c>
      <c r="L20" s="1" t="s">
        <v>63</v>
      </c>
      <c r="M20" s="1" t="s">
        <v>28</v>
      </c>
      <c r="N20" s="1" t="s">
        <v>29</v>
      </c>
      <c r="O20" s="1" t="s">
        <v>30</v>
      </c>
      <c r="P20" s="1" t="s">
        <v>168</v>
      </c>
      <c r="Q20" s="1" t="s">
        <v>169</v>
      </c>
      <c r="R20" s="1" t="s">
        <v>170</v>
      </c>
    </row>
    <row r="21" customFormat="false" ht="157.45" hidden="false" customHeight="false" outlineLevel="0" collapsed="false">
      <c r="A21" s="1" t="n">
        <f aca="false" t="array" ref="A21:A21">3</f>
        <v>3</v>
      </c>
      <c r="B21" s="1" t="n">
        <v>2025</v>
      </c>
      <c r="C21" s="1" t="s">
        <v>171</v>
      </c>
      <c r="D21" s="1" t="s">
        <v>172</v>
      </c>
      <c r="E21" s="1" t="s">
        <v>156</v>
      </c>
      <c r="F21" s="1" t="s">
        <v>21</v>
      </c>
      <c r="G21" s="1" t="s">
        <v>173</v>
      </c>
      <c r="H21" s="1" t="s">
        <v>174</v>
      </c>
      <c r="I21" s="1" t="s">
        <v>24</v>
      </c>
      <c r="J21" s="1" t="s">
        <v>87</v>
      </c>
      <c r="K21" s="1" t="s">
        <v>28</v>
      </c>
      <c r="L21" s="1" t="s">
        <v>27</v>
      </c>
      <c r="M21" s="1" t="s">
        <v>28</v>
      </c>
      <c r="N21" s="1" t="s">
        <v>96</v>
      </c>
      <c r="O21" s="1" t="s">
        <v>30</v>
      </c>
      <c r="P21" s="1" t="s">
        <v>175</v>
      </c>
      <c r="Q21" s="1" t="s">
        <v>176</v>
      </c>
      <c r="R21" s="1" t="s">
        <v>33</v>
      </c>
    </row>
    <row r="22" customFormat="false" ht="58.2" hidden="false" customHeight="false" outlineLevel="0" collapsed="false">
      <c r="A22" s="1" t="n">
        <f aca="false" t="array" ref="A22:A22">4</f>
        <v>4</v>
      </c>
      <c r="B22" s="1" t="n">
        <v>2026</v>
      </c>
      <c r="C22" s="1" t="s">
        <v>177</v>
      </c>
      <c r="D22" s="1" t="s">
        <v>178</v>
      </c>
      <c r="E22" s="1" t="s">
        <v>156</v>
      </c>
      <c r="F22" s="1" t="s">
        <v>21</v>
      </c>
      <c r="G22" s="1" t="s">
        <v>179</v>
      </c>
      <c r="H22" s="1" t="s">
        <v>180</v>
      </c>
      <c r="I22" s="1" t="s">
        <v>39</v>
      </c>
      <c r="J22" s="1" t="s">
        <v>71</v>
      </c>
      <c r="K22" s="1" t="s">
        <v>181</v>
      </c>
      <c r="L22" s="1" t="s">
        <v>63</v>
      </c>
      <c r="M22" s="1" t="s">
        <v>28</v>
      </c>
      <c r="N22" s="1" t="s">
        <v>29</v>
      </c>
      <c r="O22" s="1" t="s">
        <v>30</v>
      </c>
      <c r="P22" s="1" t="s">
        <v>182</v>
      </c>
      <c r="Q22" s="1" t="s">
        <v>183</v>
      </c>
      <c r="R22" s="1" t="s">
        <v>99</v>
      </c>
    </row>
    <row r="23" customFormat="false" ht="86.55" hidden="false" customHeight="false" outlineLevel="0" collapsed="false">
      <c r="A23" s="1" t="n">
        <f aca="false" t="array" ref="A23:A23">5</f>
        <v>5</v>
      </c>
      <c r="B23" s="1" t="n">
        <v>2026</v>
      </c>
      <c r="C23" s="1" t="s">
        <v>184</v>
      </c>
      <c r="D23" s="1" t="s">
        <v>178</v>
      </c>
      <c r="E23" s="1" t="s">
        <v>156</v>
      </c>
      <c r="F23" s="1" t="s">
        <v>21</v>
      </c>
      <c r="G23" s="1" t="s">
        <v>185</v>
      </c>
      <c r="H23" s="1" t="s">
        <v>186</v>
      </c>
      <c r="I23" s="1" t="s">
        <v>39</v>
      </c>
      <c r="J23" s="1" t="s">
        <v>71</v>
      </c>
      <c r="K23" s="1" t="s">
        <v>187</v>
      </c>
      <c r="L23" s="1" t="s">
        <v>63</v>
      </c>
      <c r="M23" s="1" t="s">
        <v>28</v>
      </c>
      <c r="N23" s="1" t="s">
        <v>29</v>
      </c>
      <c r="O23" s="1" t="s">
        <v>30</v>
      </c>
      <c r="P23" s="1" t="s">
        <v>188</v>
      </c>
      <c r="Q23" s="1" t="s">
        <v>189</v>
      </c>
      <c r="R23" s="1" t="s">
        <v>170</v>
      </c>
    </row>
    <row r="24" customFormat="false" ht="72.35" hidden="false" customHeight="false" outlineLevel="0" collapsed="false">
      <c r="A24" s="1" t="n">
        <v>6</v>
      </c>
      <c r="B24" s="1" t="n">
        <v>2023</v>
      </c>
      <c r="C24" s="1" t="s">
        <v>190</v>
      </c>
      <c r="D24" s="1" t="s">
        <v>191</v>
      </c>
      <c r="E24" s="1" t="s">
        <v>156</v>
      </c>
      <c r="F24" s="1" t="s">
        <v>21</v>
      </c>
      <c r="G24" s="1" t="s">
        <v>192</v>
      </c>
      <c r="H24" s="1" t="s">
        <v>193</v>
      </c>
      <c r="I24" s="1" t="s">
        <v>39</v>
      </c>
      <c r="J24" s="1" t="s">
        <v>71</v>
      </c>
      <c r="K24" s="1" t="s">
        <v>26</v>
      </c>
      <c r="L24" s="1" t="s">
        <v>63</v>
      </c>
      <c r="M24" s="1" t="s">
        <v>28</v>
      </c>
      <c r="N24" s="1" t="s">
        <v>29</v>
      </c>
      <c r="O24" s="1" t="s">
        <v>30</v>
      </c>
      <c r="P24" s="1" t="s">
        <v>194</v>
      </c>
      <c r="Q24" s="1" t="s">
        <v>195</v>
      </c>
      <c r="R24" s="1" t="s">
        <v>170</v>
      </c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8:L18"/>
  </mergeCells>
  <hyperlinks>
    <hyperlink ref="Q2" r:id="rId1" display="https://doi.org/10.1145/3793302.3793355"/>
    <hyperlink ref="Q3" r:id="rId2" display="https://ieeexplore.ieee.org/document/10643942"/>
    <hyperlink ref="Q4" r:id="rId3" display="https://doi.org/10.1109/SANER-C67878.2026.00038"/>
    <hyperlink ref="K5" r:id="rId4" display="source code    (https://github.com/lmpnogueira/policy-reuse-evaluation)"/>
    <hyperlink ref="Q5" r:id="rId5" display="https://doi.org/10.3390/computers15070453"/>
    <hyperlink ref="Q6" r:id="rId6" display="https://doi.org/10.32628/CSEIT235148"/>
    <hyperlink ref="Q7" r:id="rId7" display="https://www.ijcsejournal.org/gitops-scale-multi-cluster-kubernetes/"/>
    <hyperlink ref="Q8" r:id="rId8" display="https://ijetcsit.org/index.php/ijetcsit/article/view/715"/>
    <hyperlink ref="K9" r:id="rId9" display="Source code https://github.com/gjwls/ESST-eval/tree/main Diagrams,"/>
    <hyperlink ref="Q9" r:id="rId10" display="https://ieeexplore.ieee.org/abstract/document/11146725"/>
    <hyperlink ref="Q10" r:id="rId11" display="https://dl.acm.org/doi/10.1145/3651890.3672227"/>
    <hyperlink ref="K11" r:id="rId12" display="Source code  https://github.com/zakhalex/ccf-experiment , Diagrams"/>
    <hyperlink ref="Q11" r:id="rId13" display="https://doi.org/10.3390/software5010006"/>
    <hyperlink ref="Q12" r:id="rId14" display="https://doi.org/10.1016/j.jss.2026.113028"/>
    <hyperlink ref="Q13" r:id="rId15" display="https://www.researchgate.net/publication/388684855_Compliance_as_Code_Automating_Compliance_in_Cloud_Systems"/>
    <hyperlink ref="Q14" r:id="rId16" display="https://www.researchgate.net/publication/393053017_Automated_compliance_management_in_hybrid_cloud_architectures_A_policy-as-code_approach"/>
    <hyperlink ref="K15" r:id="rId17" display="Source code , https://github.com/adityasissodiya/k8s-abac-verification-demo, Diagrams"/>
    <hyperlink ref="Q15" r:id="rId18" display="https://doi.org/10.1109/ACCESS.2025.3597504"/>
    <hyperlink ref="Q16" r:id="rId19" display="https://ceur-ws.org/Vol-3991/paper11.pdf"/>
    <hyperlink ref="K17" r:id="rId20" display="Source code, https://github.com/CyberismoCom/ , Diagrams"/>
    <hyperlink ref="Q17" r:id="rId21" display="https://dl.acm.org/doi/epdf/10.1145/3685651.3686700"/>
    <hyperlink ref="Q19" r:id="rId22" display="https://www.researchgate.net/profile/Paul-Anderson-62/publication/404400476_Policy_as_Code_in_GitOps_Implementing_Compliance_Automation_with_OPA_and_Kyverno/links/69f89b76db00ec75d02e8b90/Policy-as-Code-in-GitOps-Implementing-Compliance-Automation-with-OPA-and-Kyverno.pdf"/>
    <hyperlink ref="Q20" r:id="rId23" display="https://www.researchgate.net/publication/400081468"/>
    <hyperlink ref="Q21" r:id="rId24" display="https://www.researchgate.net/publication/388173617_Security_and_Compliance_in_GitOps_Best_Practices_and_Challenges"/>
    <hyperlink ref="K22" r:id="rId25" display="Source code (https://anonymous.4open.science/r/beeline),   Diagrams"/>
    <hyperlink ref="Q22" r:id="rId26" display="https://arxiv.org/abs/2605.31084"/>
    <hyperlink ref="K23" r:id="rId27" display="Source code https://github.com/excid-io/staas, Diagrams"/>
    <hyperlink ref="Q23" r:id="rId28" display="https://arxiv.org/abs/2608.00660"/>
    <hyperlink ref="Q24" r:id="rId29" display="https://www.researchgate.net/publication/404193000_Event-Driven_Enforcement_of_CIS_Security_Policies_in_Kubernetes_Worker_Nodes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2026-08-31T08:42:08Z</dcterms:created>
  <dc:creator>Sumit Sah</dc:creator>
  <dc:description/>
  <dc:language>en-US</dc:language>
  <cp:lastModifiedBy/>
  <dcterms:modified xsi:type="dcterms:W3CDTF">2026-09-25T00:03:18Z</dcterms:modified>
  <cp:revision>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